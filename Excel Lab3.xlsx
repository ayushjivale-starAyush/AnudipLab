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 V1IN\Downloads\"/>
    </mc:Choice>
  </mc:AlternateContent>
  <xr:revisionPtr revIDLastSave="0" documentId="8_{AC9C920D-3126-414C-8103-738DACFCD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<sst xmlns="http://schemas.openxmlformats.org/spreadsheetml/2006/main" count="33" uniqueCount="31">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</sst>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B8" sqref="B8"/>
    </sheetView>
  </sheetViews>
  <sheetFormatPr defaultRowHeight="14.4" x14ac:dyDescent="0.3"/>
  <cols>
    <col min="1" max="1" width="12" style="1" customWidth="1"/>
    <col min="2" max="2" width="15" style="1" customWidth="1"/>
    <col min="3" max="4" width="10" style="1" customWidth="1"/>
    <col min="5" max="5" width="12" style="1" customWidth="1"/>
    <col min="6" max="6" width="11.6640625" customWidth="1"/>
    <col min="7" max="7" width="19.77734375" customWidth="1"/>
    <col min="8" max="8" width="15.5546875" bestFit="1" customWidth="1"/>
    <col min="9" max="9" width="13.6640625" bestFit="1" customWidth="1"/>
    <col min="10" max="10" width="17.44140625" customWidth="1"/>
    <col min="11" max="11" width="11.5546875" customWidth="1"/>
    <col min="12" max="13" width="18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x14ac:dyDescent="0.3">
      <c r="A2" s="3">
        <v>101</v>
      </c>
      <c r="B2" s="3" t="s">
        <v>13</v>
      </c>
      <c r="C2" s="3">
        <v>120</v>
      </c>
      <c r="D2" s="3">
        <v>150</v>
      </c>
      <c r="E2" s="3" t="s">
        <v>14</v>
      </c>
      <c r="F2" s="2" t="str">
        <f>IF(C2&gt;=D2,"Yes","No")</f>
        <v>No</v>
      </c>
      <c r="G2" s="2" t="str">
        <f>IF(AND(E2="North",C2&gt;200),"Eligible","Not Eligible")</f>
        <v>Not Eligible</v>
      </c>
      <c r="H2" s="2">
        <f>IF(C2&gt;=200,10%,IF(C2&gt;=150,7%,5%))</f>
        <v>0.05</v>
      </c>
      <c r="I2">
        <f>IF(C2&gt;=D2,C2*10%,C2*5%)</f>
        <v>6</v>
      </c>
      <c r="J2" t="str">
        <f>IF(C2&gt;=200,"Excellent",IF(C2&gt;=150,"Good","Needs Improvement"))</f>
        <v>Needs Improvement</v>
      </c>
      <c r="K2" t="str">
        <f>IF(C2&gt;200,"High",IF(C2&gt;=100,"Medium","Low"))</f>
        <v>Medium</v>
      </c>
      <c r="L2">
        <f>IF(AND(C2&gt;=150,E2="North"),500,300)</f>
        <v>300</v>
      </c>
      <c r="M2" t="str">
        <f>IF(C2&gt;=_xlfn.PERCENTILE.INC($C$2:$C$7,0.75),"High Performer","Normal Performer")</f>
        <v>Normal Performer</v>
      </c>
    </row>
    <row r="3" spans="1:13" x14ac:dyDescent="0.3">
      <c r="A3" s="3">
        <v>102</v>
      </c>
      <c r="B3" s="3" t="s">
        <v>15</v>
      </c>
      <c r="C3" s="3">
        <v>150</v>
      </c>
      <c r="D3" s="3">
        <v>140</v>
      </c>
      <c r="E3" s="3" t="s">
        <v>16</v>
      </c>
      <c r="F3" s="2" t="str">
        <f t="shared" ref="F3:F7" si="0">IF(C3&gt;=D3,"Yes","No")</f>
        <v>Yes</v>
      </c>
      <c r="G3" s="2" t="str">
        <f t="shared" ref="G3:G7" si="1">IF(AND(E3="North",C3&gt;200),"Eligible","Not Eligible")</f>
        <v>Not Eligible</v>
      </c>
      <c r="H3" s="2">
        <f t="shared" ref="H3:H7" si="2">IF(C3&gt;=200,10%,IF(C3&gt;=150,7%,5%))</f>
        <v>7.0000000000000007E-2</v>
      </c>
      <c r="I3">
        <f t="shared" ref="I3:I7" si="3">IF(C3&gt;=D3,C3*10%,C3*5%)</f>
        <v>15</v>
      </c>
      <c r="J3" t="str">
        <f t="shared" ref="J3:J7" si="4">IF(C3&gt;=200,"Excellent",IF(C3&gt;=150,"Good","Needs Improvement"))</f>
        <v>Good</v>
      </c>
      <c r="K3" t="str">
        <f t="shared" ref="K3:K7" si="5">IF(C3&gt;200,"High",IF(C3&gt;=100,"Medium","Low"))</f>
        <v>Medium</v>
      </c>
      <c r="L3">
        <f t="shared" ref="L3:L7" si="6">IF(AND(C3&gt;=150,E3="North"),500,300)</f>
        <v>300</v>
      </c>
      <c r="M3" t="str">
        <f t="shared" ref="M3:M7" si="7">IF(C3&gt;=_xlfn.PERCENTILE.INC($C$2:$C$7,0.75),"High Performer","Normal Performer")</f>
        <v>Normal Performer</v>
      </c>
    </row>
    <row r="4" spans="1:13" x14ac:dyDescent="0.3">
      <c r="A4" s="3">
        <v>103</v>
      </c>
      <c r="B4" s="3" t="s">
        <v>17</v>
      </c>
      <c r="C4" s="3">
        <v>200</v>
      </c>
      <c r="D4" s="3">
        <v>200</v>
      </c>
      <c r="E4" s="3" t="s">
        <v>18</v>
      </c>
      <c r="F4" s="2" t="str">
        <f t="shared" si="0"/>
        <v>Yes</v>
      </c>
      <c r="G4" s="2" t="str">
        <f t="shared" si="1"/>
        <v>Not Eligible</v>
      </c>
      <c r="H4" s="2">
        <f t="shared" si="2"/>
        <v>0.1</v>
      </c>
      <c r="I4">
        <f t="shared" si="3"/>
        <v>20</v>
      </c>
      <c r="J4" t="str">
        <f t="shared" si="4"/>
        <v>Excellent</v>
      </c>
      <c r="K4" t="str">
        <f t="shared" si="5"/>
        <v>Medium</v>
      </c>
      <c r="L4">
        <f t="shared" si="6"/>
        <v>300</v>
      </c>
      <c r="M4" t="str">
        <f t="shared" si="7"/>
        <v>High Performer</v>
      </c>
    </row>
    <row r="5" spans="1:13" x14ac:dyDescent="0.3">
      <c r="A5" s="3">
        <v>104</v>
      </c>
      <c r="B5" s="3" t="s">
        <v>19</v>
      </c>
      <c r="C5" s="3">
        <v>90</v>
      </c>
      <c r="D5" s="3">
        <v>100</v>
      </c>
      <c r="E5" s="3" t="s">
        <v>20</v>
      </c>
      <c r="F5" s="2" t="str">
        <f t="shared" si="0"/>
        <v>No</v>
      </c>
      <c r="G5" s="2" t="str">
        <f t="shared" si="1"/>
        <v>Not Eligible</v>
      </c>
      <c r="H5" s="2">
        <f t="shared" si="2"/>
        <v>0.05</v>
      </c>
      <c r="I5">
        <f t="shared" si="3"/>
        <v>4.5</v>
      </c>
      <c r="J5" t="str">
        <f t="shared" si="4"/>
        <v>Needs Improvement</v>
      </c>
      <c r="K5" t="str">
        <f t="shared" si="5"/>
        <v>Low</v>
      </c>
      <c r="L5">
        <f t="shared" si="6"/>
        <v>300</v>
      </c>
      <c r="M5" t="str">
        <f t="shared" si="7"/>
        <v>Normal Performer</v>
      </c>
    </row>
    <row r="6" spans="1:13" x14ac:dyDescent="0.3">
      <c r="A6" s="3">
        <v>105</v>
      </c>
      <c r="B6" s="3" t="s">
        <v>21</v>
      </c>
      <c r="C6" s="3">
        <v>220</v>
      </c>
      <c r="D6" s="3">
        <v>210</v>
      </c>
      <c r="E6" s="3" t="s">
        <v>14</v>
      </c>
      <c r="F6" s="2" t="str">
        <f t="shared" si="0"/>
        <v>Yes</v>
      </c>
      <c r="G6" s="2" t="str">
        <f t="shared" si="1"/>
        <v>Eligible</v>
      </c>
      <c r="H6" s="2">
        <f t="shared" si="2"/>
        <v>0.1</v>
      </c>
      <c r="I6">
        <f t="shared" si="3"/>
        <v>22</v>
      </c>
      <c r="J6" t="str">
        <f t="shared" si="4"/>
        <v>Excellent</v>
      </c>
      <c r="K6" t="str">
        <f t="shared" si="5"/>
        <v>High</v>
      </c>
      <c r="L6">
        <f t="shared" si="6"/>
        <v>500</v>
      </c>
      <c r="M6" t="str">
        <f t="shared" si="7"/>
        <v>High Performer</v>
      </c>
    </row>
    <row r="7" spans="1:13" x14ac:dyDescent="0.3">
      <c r="A7" s="3">
        <v>106</v>
      </c>
      <c r="B7" s="3" t="s">
        <v>22</v>
      </c>
      <c r="C7" s="3">
        <v>130</v>
      </c>
      <c r="D7" s="3">
        <v>160</v>
      </c>
      <c r="E7" s="3" t="s">
        <v>16</v>
      </c>
      <c r="F7" s="2" t="str">
        <f t="shared" si="0"/>
        <v>No</v>
      </c>
      <c r="G7" s="2" t="str">
        <f t="shared" si="1"/>
        <v>Not Eligible</v>
      </c>
      <c r="H7" s="2">
        <f t="shared" si="2"/>
        <v>0.05</v>
      </c>
      <c r="I7">
        <f t="shared" si="3"/>
        <v>6.5</v>
      </c>
      <c r="J7" t="str">
        <f t="shared" si="4"/>
        <v>Needs Improvement</v>
      </c>
      <c r="K7" t="str">
        <f t="shared" si="5"/>
        <v>Medium</v>
      </c>
      <c r="L7">
        <f t="shared" si="6"/>
        <v>300</v>
      </c>
      <c r="M7" t="str">
        <f t="shared" si="7"/>
        <v>Normal Performer</v>
      </c>
    </row>
    <row r="10" spans="1:13" x14ac:dyDescent="0.3">
      <c r="A10" s="6" t="s">
        <v>23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">
      <c r="A11" s="6" t="s">
        <v>24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">
      <c r="A12" s="6" t="s">
        <v>25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3">
      <c r="A13" s="6" t="s">
        <v>26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6.95" customHeight="1" x14ac:dyDescent="0.3">
      <c r="A14" s="4" t="s">
        <v>27</v>
      </c>
      <c r="B14" s="4"/>
      <c r="C14" s="4"/>
      <c r="D14" s="4"/>
      <c r="E14" s="4"/>
      <c r="F14" s="4"/>
      <c r="G14" s="4"/>
      <c r="H14" s="4"/>
      <c r="I14" s="4"/>
      <c r="J14" s="4"/>
      <c r="K14" s="6"/>
      <c r="L14" s="6"/>
      <c r="M14" s="6"/>
    </row>
    <row r="15" spans="1:13" ht="16.5" customHeight="1" x14ac:dyDescent="0.3">
      <c r="A15" s="5" t="s">
        <v>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3">
      <c r="A16" s="6" t="s">
        <v>29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3">
      <c r="A17" s="6" t="s">
        <v>30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ayush jivale</cp:lastModifiedBy>
  <dcterms:created xsi:type="dcterms:W3CDTF">2026-07-02T07:21:34Z</dcterms:created>
  <dcterms:modified xsi:type="dcterms:W3CDTF">2026-07-02T08:56:05Z</dcterms:modified>
</cp:coreProperties>
</file>